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nstrucciones" sheetId="1" state="visible" r:id="rId3"/>
    <sheet name="Preguntas" sheetId="2" state="visible" r:id="rId4"/>
    <sheet name="Documentos" sheetId="3" state="visible" r:id="rId5"/>
  </sheets>
  <definedNames>
    <definedName function="false" hidden="true" localSheetId="1" name="_xlnm._FilterDatabase" vbProcedure="false">Preguntas!$A$2:$H$34</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<sst xmlns="http://schemas.openxmlformats.org/spreadsheetml/2006/main" count="181" uniqueCount="115">
  <si>
    <t xml:space="preserve">Preguntas para Laboratorios M&amp;G</t>
  </si>
  <si>
    <t xml:space="preserve">Javier Humberto Ortiz Molina · 12 de octubre de 2026</t>
  </si>
  <si>
    <t xml:space="preserve">Estas preguntas recogen lo que nos falta para cerrar el diagnóstico y diseñar la solución con ustedes. Están agrupadas por quién las puede responder mejor, para resolverlas en una sola sesión o repartirlas entre las áreas. Donde no haya una práctica definida hoy, basta con contarnos cómo les gustaría que funcione.</t>
  </si>
  <si>
    <t xml:space="preserve">Cómo llenarlo</t>
  </si>
  <si>
    <t xml:space="preserve">Hoja «Preguntas»</t>
  </si>
  <si>
    <t xml:space="preserve">Llenar las columnas con fondo verde claro: Responde, Respuesta, Estado y Fecha. Las demás no se modifican.</t>
  </si>
  <si>
    <t xml:space="preserve">Estado</t>
  </si>
  <si>
    <t xml:space="preserve">Elegir de la lista: Pendiente, En curso o Respondida. El resumen de abajo se actualiza solo.</t>
  </si>
  <si>
    <t xml:space="preserve">Hoja «Documentos»</t>
  </si>
  <si>
    <t xml:space="preserve">Marcar Sí o No en Entregado y anotar observaciones si hace falta.</t>
  </si>
  <si>
    <t xml:space="preserve">Datos de clientes</t>
  </si>
  <si>
    <t xml:space="preserve">Si un ejemplo trae datos de clientes, por favor ocultarlos antes de enviarlo.</t>
  </si>
  <si>
    <t xml:space="preserve">Ejemplo de una fila respondida</t>
  </si>
  <si>
    <t xml:space="preserve">Responde</t>
  </si>
  <si>
    <t xml:space="preserve">Respuesta</t>
  </si>
  <si>
    <t xml:space="preserve">Fecha</t>
  </si>
  <si>
    <t xml:space="preserve">Ana Gómez (Calidad)</t>
  </si>
  <si>
    <t xml:space="preserve">Lo asigna el director de cada laboratorio; los analistas no toman trabajo por su cuenta.</t>
  </si>
  <si>
    <t xml:space="preserve">Respondida</t>
  </si>
  <si>
    <t xml:space="preserve">15/10/2026</t>
  </si>
  <si>
    <t xml:space="preserve">Resumen</t>
  </si>
  <si>
    <t xml:space="preserve">Total de preguntas</t>
  </si>
  <si>
    <t xml:space="preserve">Respondidas</t>
  </si>
  <si>
    <t xml:space="preserve">En curso</t>
  </si>
  <si>
    <t xml:space="preserve">Pendientes</t>
  </si>
  <si>
    <t xml:space="preserve">Avance</t>
  </si>
  <si>
    <t xml:space="preserve">Documentos entregados</t>
  </si>
  <si>
    <t xml:space="preserve">#</t>
  </si>
  <si>
    <t xml:space="preserve">Área</t>
  </si>
  <si>
    <t xml:space="preserve">Tema</t>
  </si>
  <si>
    <t xml:space="preserve">Pregunta</t>
  </si>
  <si>
    <t xml:space="preserve">Gerencia</t>
  </si>
  <si>
    <t xml:space="preserve">Laboratorio piloto</t>
  </si>
  <si>
    <t xml:space="preserve">¿Con qué laboratorio les gustaría empezar? Conviene uno con buen volumen y normas no tan variadas.</t>
  </si>
  <si>
    <t xml:space="preserve">Pendiente</t>
  </si>
  <si>
    <t xml:space="preserve">Clientes del exterior sin representación en Colombia</t>
  </si>
  <si>
    <t xml:space="preserve">¿Cómo los identifican, cómo les facturan y cómo les cobran hoy?</t>
  </si>
  <si>
    <t xml:space="preserve">Sedes en otros países</t>
  </si>
  <si>
    <t xml:space="preserve">¿En qué países tienen o planean tener sedes, y cuándo? ¿Cada una es una empresa distinta, con su propia facturación y acreditación? ¿Deben entrar en esta primera etapa o después?</t>
  </si>
  <si>
    <t xml:space="preserve">Indicadores y metas</t>
  </si>
  <si>
    <t xml:space="preserve">¿Qué indicadores revisan hoy (por ejemplo, entregas a tiempo, tiempo de ciclo, ventas por sede o laboratorio) y con qué metas? ¿Quién los revisa y cada cuánto?</t>
  </si>
  <si>
    <t xml:space="preserve">Firma digital</t>
  </si>
  <si>
    <t xml:space="preserve">¿Hoy firman los informes con certificado digital? Si es así, ¿con qué entidad de certificación (por ejemplo, Certicámara o GSE), a nombre de quién está el certificado y cómo lo usan (token, firma remota, archivo)?</t>
  </si>
  <si>
    <t xml:space="preserve">Calidad</t>
  </si>
  <si>
    <t xml:space="preserve">Fecha del informe</t>
  </si>
  <si>
    <t xml:space="preserve">¿En qué casos se necesita que el informe muestre una fecha distinta a la de emisión? ¿Sería suficiente mostrar, junto a la fecha de emisión, la fecha en que se aprobó técnicamente el resultado?</t>
  </si>
  <si>
    <t xml:space="preserve">Actualización de normas</t>
  </si>
  <si>
    <t xml:space="preserve">¿Cómo se enteran hoy de que una norma tiene una versión nueva o fue retirada? ¿Tienen suscripción con alertas en ICONTEC, ISO, ASTM u otro organismo? Cuando cambia la versión, ¿qué hacen con el alcance de acreditación ante ONAC?</t>
  </si>
  <si>
    <t xml:space="preserve">Quién conoce la identidad del cliente</t>
  </si>
  <si>
    <t xml:space="preserve">El analista no la conoce. ¿Y el director del laboratorio? Si es quien aclara la norma con el cliente, necesita sus datos de contacto: ¿los debe ver siempre, solo en las órdenes de su laboratorio o solo cuando tiene que contactarlo? ¿Algún otro rol técnico debería verlos?</t>
  </si>
  <si>
    <t xml:space="preserve">Asignación a analistas</t>
  </si>
  <si>
    <t xml:space="preserve">¿Quién asigna hoy los ensayos a los analistas en cada laboratorio (el director, un coordinador)? ¿Los analistas pueden tomar trabajo por su cuenta? ¿Se agrupan varias muestras con el mismo ensayo para correrlas juntas? ¿Hay un registro de qué ensayos está autorizado a hacer cada analista?</t>
  </si>
  <si>
    <t xml:space="preserve">Muestras que nadie reclama</t>
  </si>
  <si>
    <t xml:space="preserve">¿Qué tan seguido llegan muestras que no se pueden asociar a un cliente o a una orden, o cuyo cliente nunca responde? ¿Cómo lo resuelven hoy: cuántas veces y por qué medio contactan al cliente, cuánto tiempo las guardan y qué hacen después (devolverlas, destruirlas, otra cosa)? ¿Esa disposición queda registrada?</t>
  </si>
  <si>
    <t xml:space="preserve">Versión nueva de una norma con ensayos en curso</t>
  </si>
  <si>
    <t xml:space="preserve">¿Los ensayos se terminan con la versión anterior, o se detienen y se informa al cliente para que apruebe el cambio? ¿Qué pasa con el precio en ese caso?</t>
  </si>
  <si>
    <t xml:space="preserve">Cliente que no responde</t>
  </si>
  <si>
    <t xml:space="preserve">Si se le pide decidir entre la versión nueva y la anterior de una norma y no responde, ¿la orden queda en espera o sigue con la versión anterior después de un plazo?</t>
  </si>
  <si>
    <t xml:space="preserve">Condición de la muestra</t>
  </si>
  <si>
    <t xml:space="preserve">Si la inspección encuentra una condición y el cliente no responde, ¿es suficiente tomarlo como aceptación y dejar constancia en el informe? ¿Hay condiciones que sí deben detener el ensayo hasta que el cliente responda?</t>
  </si>
  <si>
    <t xml:space="preserve">Inspección</t>
  </si>
  <si>
    <t xml:space="preserve">¿La inspección de la muestra se registra hoy en un formato? ¿En Excel?</t>
  </si>
  <si>
    <t xml:space="preserve">Cambio de analista</t>
  </si>
  <si>
    <t xml:space="preserve">¿Un ensayo puede empezarlo un analista y terminarlo otro? ¿En qué tipos de ensayo se permite?</t>
  </si>
  <si>
    <t xml:space="preserve">Unidades que no cuadran</t>
  </si>
  <si>
    <t xml:space="preserve">Si las unidades recibidas no coinciden con las consumidas en los ensayos más las que pasan a contramuestras, ¿qué se registra como justificación, quién la da, en cuánto tiempo, se informa al cliente y se detiene el paso a contramuestras mientras tanto?</t>
  </si>
  <si>
    <t xml:space="preserve">Informes preliminares</t>
  </si>
  <si>
    <t xml:space="preserve">Cuando un cliente pide resultados parciales antes del informe final, ¿quién los aprueba (el firmante o el director del laboratorio), llevan firma digital y logo de acreditación, y tienen costo adicional?</t>
  </si>
  <si>
    <t xml:space="preserve">Retención de registros</t>
  </si>
  <si>
    <t xml:space="preserve">¿Cuánto tiempo deben conservar cada tipo de registro (informes, Excel de resultados, comunicaciones con el cliente, fotos, registros de equipos) según su política o lo que exige la acreditación?</t>
  </si>
  <si>
    <t xml:space="preserve">Comercial y facturación</t>
  </si>
  <si>
    <t xml:space="preserve">Muestras sin cotización</t>
  </si>
  <si>
    <t xml:space="preserve">Cuando la muestra llega sin cotización, ¿cómo fijan hoy el precio? ¿Alguna vez se ejecuta antes de que el cliente acepte el precio?</t>
  </si>
  <si>
    <t xml:space="preserve">Ensayos retirados</t>
  </si>
  <si>
    <t xml:space="preserve">Si el cliente quita un ensayo antes o durante la ejecución, ¿se cobra?</t>
  </si>
  <si>
    <t xml:space="preserve">Cambio de versión de norma</t>
  </si>
  <si>
    <t xml:space="preserve">Si el cliente pasa a la versión nueva de una norma, ¿se mantiene el precio cotizado o se recotiza?</t>
  </si>
  <si>
    <t xml:space="preserve">Software de facturación</t>
  </si>
  <si>
    <t xml:space="preserve">¿Con qué sistema emiten la factura electrónica?</t>
  </si>
  <si>
    <t xml:space="preserve">Clientes principales</t>
  </si>
  <si>
    <t xml:space="preserve">¿Cuáles son los clientes con más órdenes al año (por ejemplo, los 20 primeros), de qué sector son (farmacéutico, automotriz, militar, industrial, otros) y con qué frecuencia envían muestras? Si es más fácil, nos basta con una exportación del sistema actual.</t>
  </si>
  <si>
    <t xml:space="preserve">Información incompleta</t>
  </si>
  <si>
    <t xml:space="preserve">¿Qué datos faltan con más frecuencia cuando llega una solicitud o una muestra, con qué clientes pasa más y cuánto tiempo se pierde esperando? ¿Han capacitado o visitado alguna vez a un cliente para mejorar cómo envía la información?</t>
  </si>
  <si>
    <t xml:space="preserve">Clientes inactivos y segmentación</t>
  </si>
  <si>
    <t xml:space="preserve">¿Después de cuánto tiempo sin órdenes, o de cuánta caída en el volumen, quieren que el sistema les avise para contactar a un cliente? ¿Les serviría clasificar a los clientes por sector y subsector (por ejemplo, Automotriz › Concesionarios) u otros criterios como tipo o ciudad? ¿Hoy los clasifican de alguna forma, por ejemplo por tamaño de empresa (micro, pequeña, mediana o grande) o por importancia para M&amp;G (cuentas clave, A, B, C)? Si es así, ¿con qué criterio: lo que facturan con ustedes, la frecuencia con la que envían muestras u otro?</t>
  </si>
  <si>
    <t xml:space="preserve">Cliente que no sabe qué pedir</t>
  </si>
  <si>
    <t xml:space="preserve">Cuando llega una muestra sin norma ni ensayos y el cliente no sabe cuáles necesita, entendimos que recepción técnica lo detecta y lo remite al director del laboratorio, que aclara la norma con el cliente. ¿Es siempre así o en algunos casos lo resuelve comercial? ¿Quién ajusta la cotización si cambia el precio, y la asesoría se cobra?</t>
  </si>
  <si>
    <t xml:space="preserve">Quién atiende el correo y el WhatsApp</t>
  </si>
  <si>
    <t xml:space="preserve">¿Quién lee hoy los mensajes que llegan y decide a qué sede o persona van: servicio al cliente, comercial u otra área? ¿Cada sede tiene su propia persona para esto?</t>
  </si>
  <si>
    <t xml:space="preserve">TI</t>
  </si>
  <si>
    <t xml:space="preserve">Acceso para el diagnóstico</t>
  </si>
  <si>
    <t xml:space="preserve">Una vez firmado el acuerdo de confidencialidad: acceso de lectura al código de los sistemas actuales, una copia de la base de datos y de su esquema, y saber dónde están alojados y cómo se respaldan.</t>
  </si>
  <si>
    <t xml:space="preserve">Dominio y DNS</t>
  </si>
  <si>
    <t xml:space="preserve">¿Con qué proveedor está registrado el dominio de M&amp;G y dónde se administra el DNS? ¿Quién tiene hoy acceso a esas cuentas (TI interno, un proveedor externo)? ¿El correo del dominio está en Microsoft 365 y tiene configurados SPF, DKIM y DMARC? Necesitaremos crear algunos subdominios (por ejemplo, para la aplicación interna, el portal de clientes y la verificación de informes) y autorizar el envío de correos desde la nueva plataforma.</t>
  </si>
  <si>
    <t xml:space="preserve">Numeración de las muestras</t>
  </si>
  <si>
    <t xml:space="preserve">¿Cómo numeran hoy cada muestra que reciben (por ejemplo, un consecutivo de seis dígitos), lo genera el sistema actual o se lleva a mano, y es único en todas las sedes? ¿Quieren conservar ese consecutivo en la nueva plataforma o prefieren uno nuevo, por ejemplo con el año adelante?</t>
  </si>
  <si>
    <t xml:space="preserve">Stickers, impresoras y lectores</t>
  </si>
  <si>
    <t xml:space="preserve">¿Qué stickers usan hoy para las muestras (tamaño, material, qué dicen y si llevan código de barras o QR)? ¿Qué impresoras de etiquetas tienen en cada sede (marca y modelo) y si usan lectores de códigos? ¿Algún sticker se ha borrado o despegado en cámaras climáticas, humedad o con solventes?</t>
  </si>
  <si>
    <t xml:space="preserve">Directorio de usuarios y Teams</t>
  </si>
  <si>
    <t xml:space="preserve">¿Tienen un Active Directory local y está sincronizado con Microsoft 365 (Entra ID)? ¿Usan Microsoft Teams en el día a día? Al inicio la plataforma tendrá sus propios usuarios, pero esto define cómo conectarla más adelante y si las alertas internas pueden llegar por Teams.</t>
  </si>
  <si>
    <t xml:space="preserve">Documentos y ejemplos a solicitar (con datos de clientes ocultos)</t>
  </si>
  <si>
    <t xml:space="preserve">Documento</t>
  </si>
  <si>
    <t xml:space="preserve">Entregado</t>
  </si>
  <si>
    <t xml:space="preserve">Observaciones</t>
  </si>
  <si>
    <t xml:space="preserve">Un cuaderno de carga de un cliente.</t>
  </si>
  <si>
    <t xml:space="preserve">Informes emitidos, con el formato que incluye las fotos de la muestra.</t>
  </si>
  <si>
    <t xml:space="preserve">Una cotización compleja y una simple.</t>
  </si>
  <si>
    <t xml:space="preserve">Los formatos de Excel con que los analistas registran los ensayos, uno por laboratorio.</t>
  </si>
  <si>
    <t xml:space="preserve">El formato de inspección de la muestra, si existe.</t>
  </si>
  <si>
    <t xml:space="preserve">El formato de solicitud de servicio.</t>
  </si>
  <si>
    <t xml:space="preserve">Un ejemplo de solicitud completa y uno de solicitud incompleta, y los archivos que envía un cliente con formato propio (por ejemplo, el Excel y el PDF de un concesionario).</t>
  </si>
  <si>
    <t xml:space="preserve">La política de tratamiento de datos personales vigente.</t>
  </si>
  <si>
    <t xml:space="preserve">La política de retención de registros, si existe.</t>
  </si>
  <si>
    <t xml:space="preserve">Fotos de los stickers que usan hoy en las muestras.</t>
  </si>
  <si>
    <t xml:space="preserve">El manual de marca de M&amp;G (logo, colores, tipografía) y ejemplos de los correos que envían hoy a los clientes.</t>
  </si>
</sst>
</file>

<file path=xl/styles.xml><?xml version="1.0" encoding="utf-8"?>
<styleSheet xmlns="http://schemas.openxmlformats.org/spreadsheetml/2006/main">
  <numFmts count="3">
    <numFmt numFmtId="164" formatCode="General"/>
    <numFmt numFmtId="165" formatCode="0%"/>
    <numFmt numFmtId="166" formatCode="dd/mm/yyyy"/>
  </numFmts>
  <fonts count="16">
    <font>
      <sz val="11"/>
      <color theme="1"/>
      <name val="Calibri"/>
      <family val="2"/>
      <charset val="1"/>
    </font>
    <font>
      <sz val="10"/>
      <name val="Arial"/>
      <family val="0"/>
    </font>
    <font>
      <sz val="10"/>
      <name val="Arial"/>
      <family val="0"/>
    </font>
    <font>
      <sz val="10"/>
      <name val="Arial"/>
      <family val="0"/>
    </font>
    <font>
      <b val="true"/>
      <sz val="16"/>
      <color rgb="FF173A36"/>
      <name val="Arial"/>
      <family val="0"/>
      <charset val="1"/>
    </font>
    <font>
      <sz val="9"/>
      <color rgb="FF55636A"/>
      <name val="Arial"/>
      <family val="0"/>
      <charset val="1"/>
    </font>
    <font>
      <sz val="10"/>
      <color rgb="FF173A36"/>
      <name val="Arial"/>
      <family val="0"/>
      <charset val="1"/>
    </font>
    <font>
      <b val="true"/>
      <sz val="12"/>
      <color rgb="FF256B60"/>
      <name val="Arial"/>
      <family val="0"/>
      <charset val="1"/>
    </font>
    <font>
      <b val="true"/>
      <sz val="10"/>
      <color rgb="FF173A36"/>
      <name val="Arial"/>
      <family val="0"/>
      <charset val="1"/>
    </font>
    <font>
      <sz val="10"/>
      <name val="Arial"/>
      <family val="0"/>
      <charset val="1"/>
    </font>
    <font>
      <b val="true"/>
      <sz val="9"/>
      <color rgb="FFFFFFFF"/>
      <name val="Arial"/>
      <family val="0"/>
      <charset val="1"/>
    </font>
    <font>
      <i val="true"/>
      <sz val="9"/>
      <color rgb="FF55636A"/>
      <name val="Arial"/>
      <family val="0"/>
      <charset val="1"/>
    </font>
    <font>
      <b val="true"/>
      <sz val="13"/>
      <color rgb="FF173A36"/>
      <name val="Arial"/>
      <family val="0"/>
      <charset val="1"/>
    </font>
    <font>
      <b val="true"/>
      <sz val="10"/>
      <color rgb="FFFFFFFF"/>
      <name val="Arial"/>
      <family val="0"/>
      <charset val="1"/>
    </font>
    <font>
      <sz val="10"/>
      <color rgb="FF1E2B2E"/>
      <name val="Arial"/>
      <family val="0"/>
      <charset val="1"/>
    </font>
    <font>
      <b val="true"/>
      <sz val="10"/>
      <color rgb="FF256B60"/>
      <name val="Arial"/>
      <family val="0"/>
      <charset val="1"/>
    </font>
  </fonts>
  <fills count="4">
    <fill>
      <patternFill patternType="none"/>
    </fill>
    <fill>
      <patternFill patternType="gray125"/>
    </fill>
    <fill>
      <patternFill patternType="solid">
        <fgColor rgb="FF173A36"/>
        <bgColor rgb="FF1E2B2E"/>
      </patternFill>
    </fill>
    <fill>
      <patternFill patternType="solid">
        <fgColor rgb="FFE4F1EE"/>
        <bgColor rgb="FFDDE3E2"/>
      </patternFill>
    </fill>
  </fills>
  <borders count="2">
    <border diagonalUp="false" diagonalDown="false">
      <left/>
      <right/>
      <top/>
      <bottom/>
      <diagonal/>
    </border>
    <border diagonalUp="false" diagonalDown="false">
      <left style="thin">
        <color rgb="FFDDE3E2"/>
      </left>
      <right style="thin">
        <color rgb="FFDDE3E2"/>
      </right>
      <top style="thin">
        <color rgb="FFDDE3E2"/>
      </top>
      <bottom style="thin">
        <color rgb="FFDDE3E2"/>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true" applyAlignment="true" applyProtection="false">
      <alignment horizontal="general" vertical="top" textRotation="0" wrapText="true" indent="0" shrinkToFit="false"/>
      <protection locked="true" hidden="false"/>
    </xf>
    <xf numFmtId="164" fontId="10" fillId="2" borderId="1" xfId="0" applyFont="true" applyBorder="true" applyAlignment="false" applyProtection="false">
      <alignment horizontal="general" vertical="bottom" textRotation="0" wrapText="false" indent="0" shrinkToFit="false"/>
      <protection locked="true" hidden="false"/>
    </xf>
    <xf numFmtId="164" fontId="11" fillId="0" borderId="1"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2" borderId="1" xfId="0" applyFont="true" applyBorder="true" applyAlignment="true" applyProtection="false">
      <alignment horizontal="general" vertical="center" textRotation="0" wrapText="true" indent="0" shrinkToFit="false"/>
      <protection locked="true" hidden="false"/>
    </xf>
    <xf numFmtId="164" fontId="14" fillId="0" borderId="1" xfId="0" applyFont="true" applyBorder="true" applyAlignment="true" applyProtection="false">
      <alignment horizontal="general" vertical="top" textRotation="0" wrapText="true" indent="0" shrinkToFit="false"/>
      <protection locked="true" hidden="false"/>
    </xf>
    <xf numFmtId="164" fontId="15" fillId="0" borderId="1" xfId="0" applyFont="true" applyBorder="true" applyAlignment="true" applyProtection="false">
      <alignment horizontal="general" vertical="top" textRotation="0" wrapText="true" indent="0" shrinkToFit="false"/>
      <protection locked="true" hidden="false"/>
    </xf>
    <xf numFmtId="164" fontId="14" fillId="3" borderId="1" xfId="0" applyFont="true" applyBorder="true" applyAlignment="true" applyProtection="false">
      <alignment horizontal="general" vertical="top" textRotation="0" wrapText="true" indent="0" shrinkToFit="false"/>
      <protection locked="true" hidden="false"/>
    </xf>
    <xf numFmtId="166" fontId="14" fillId="3" borderId="1" xfId="0" applyFont="true" applyBorder="true" applyAlignment="true" applyProtection="false">
      <alignment horizontal="general" vertical="top" textRotation="0" wrapText="true" indent="0" shrinkToFit="false"/>
      <protection locked="true" hidden="false"/>
    </xf>
    <xf numFmtId="164" fontId="13" fillId="2" borderId="1" xfId="0" applyFont="true" applyBorder="true" applyAlignment="false" applyProtection="false">
      <alignment horizontal="general" vertical="bottom" textRotation="0" wrapText="false" indent="0" shrinkToFit="false"/>
      <protection locked="true" hidden="false"/>
    </xf>
    <xf numFmtId="164" fontId="9" fillId="0" borderId="1" xfId="0" applyFont="true" applyBorder="true" applyAlignment="true" applyProtection="false">
      <alignment horizontal="general" vertical="top" textRotation="0" wrapText="true" indent="0" shrinkToFit="false"/>
      <protection locked="true" hidden="false"/>
    </xf>
    <xf numFmtId="164" fontId="9" fillId="3"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173A36"/>
          <bgColor rgb="FF000000"/>
        </patternFill>
      </fill>
    </dxf>
    <dxf>
      <fill>
        <patternFill patternType="solid">
          <bgColor rgb="FF000000"/>
        </patternFill>
      </fill>
    </dxf>
    <dxf>
      <fill>
        <patternFill patternType="solid">
          <fgColor rgb="FF1E2B2E"/>
          <bgColor rgb="FF000000"/>
        </patternFill>
      </fill>
    </dxf>
    <dxf>
      <fill>
        <patternFill patternType="solid">
          <fgColor rgb="FFFFFFFF"/>
          <bgColor rgb="FF000000"/>
        </patternFill>
      </fill>
    </dxf>
    <dxf>
      <fill>
        <patternFill patternType="solid">
          <fgColor rgb="FF256B60"/>
          <bgColor rgb="FF000000"/>
        </patternFill>
      </fill>
    </dxf>
    <dxf>
      <fill>
        <patternFill patternType="solid">
          <fgColor rgb="FFE4F1EE"/>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256B60"/>
      <rgbColor rgb="FFC0C0C0"/>
      <rgbColor rgb="FF808080"/>
      <rgbColor rgb="FF9999FF"/>
      <rgbColor rgb="FF993366"/>
      <rgbColor rgb="FFFFFFCC"/>
      <rgbColor rgb="FFE4F1EE"/>
      <rgbColor rgb="FF660066"/>
      <rgbColor rgb="FFFF8080"/>
      <rgbColor rgb="FF0066CC"/>
      <rgbColor rgb="FFDDE3E2"/>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55636A"/>
      <rgbColor rgb="FF969696"/>
      <rgbColor rgb="FF173A36"/>
      <rgbColor rgb="FF339966"/>
      <rgbColor rgb="FF003300"/>
      <rgbColor rgb="FF333300"/>
      <rgbColor rgb="FF993300"/>
      <rgbColor rgb="FF993366"/>
      <rgbColor rgb="FF333399"/>
      <rgbColor rgb="FF1E2B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48"/>
    <col collapsed="false" customWidth="true" hidden="false" outlineLevel="0" max="4" min="3" style="0" width="16"/>
  </cols>
  <sheetData>
    <row r="1" customFormat="false" ht="19.7" hidden="false" customHeight="false" outlineLevel="0" collapsed="false">
      <c r="A1" s="1" t="s">
        <v>0</v>
      </c>
    </row>
    <row r="2" customFormat="false" ht="15" hidden="false" customHeight="false" outlineLevel="0" collapsed="false">
      <c r="A2" s="2" t="s">
        <v>1</v>
      </c>
    </row>
    <row r="4" customFormat="false" ht="60" hidden="false" customHeight="true" outlineLevel="0" collapsed="false">
      <c r="A4" s="3" t="s">
        <v>2</v>
      </c>
      <c r="B4" s="3"/>
      <c r="C4" s="3"/>
      <c r="D4" s="3"/>
    </row>
    <row r="6" customFormat="false" ht="15" hidden="false" customHeight="false" outlineLevel="0" collapsed="false">
      <c r="A6" s="4" t="s">
        <v>3</v>
      </c>
    </row>
    <row r="7" customFormat="false" ht="30" hidden="false" customHeight="true" outlineLevel="0" collapsed="false">
      <c r="A7" s="5" t="s">
        <v>4</v>
      </c>
      <c r="B7" s="6" t="s">
        <v>5</v>
      </c>
      <c r="C7" s="6"/>
      <c r="D7" s="6"/>
    </row>
    <row r="8" customFormat="false" ht="30" hidden="false" customHeight="true" outlineLevel="0" collapsed="false">
      <c r="A8" s="5" t="s">
        <v>6</v>
      </c>
      <c r="B8" s="6" t="s">
        <v>7</v>
      </c>
      <c r="C8" s="6"/>
      <c r="D8" s="6"/>
    </row>
    <row r="9" customFormat="false" ht="30" hidden="false" customHeight="true" outlineLevel="0" collapsed="false">
      <c r="A9" s="5" t="s">
        <v>8</v>
      </c>
      <c r="B9" s="6" t="s">
        <v>9</v>
      </c>
      <c r="C9" s="6"/>
      <c r="D9" s="6"/>
    </row>
    <row r="10" customFormat="false" ht="30" hidden="false" customHeight="true" outlineLevel="0" collapsed="false">
      <c r="A10" s="5" t="s">
        <v>10</v>
      </c>
      <c r="B10" s="6" t="s">
        <v>11</v>
      </c>
      <c r="C10" s="6"/>
      <c r="D10" s="6"/>
    </row>
    <row r="12" customFormat="false" ht="15" hidden="false" customHeight="false" outlineLevel="0" collapsed="false">
      <c r="A12" s="4" t="s">
        <v>12</v>
      </c>
    </row>
    <row r="13" customFormat="false" ht="15" hidden="false" customHeight="false" outlineLevel="0" collapsed="false">
      <c r="A13" s="7" t="s">
        <v>13</v>
      </c>
      <c r="B13" s="7" t="s">
        <v>14</v>
      </c>
      <c r="C13" s="7" t="s">
        <v>6</v>
      </c>
      <c r="D13" s="7" t="s">
        <v>15</v>
      </c>
    </row>
    <row r="14" customFormat="false" ht="42" hidden="false" customHeight="true" outlineLevel="0" collapsed="false">
      <c r="A14" s="8" t="s">
        <v>16</v>
      </c>
      <c r="B14" s="8" t="s">
        <v>17</v>
      </c>
      <c r="C14" s="8" t="s">
        <v>18</v>
      </c>
      <c r="D14" s="8" t="s">
        <v>19</v>
      </c>
    </row>
    <row r="16" customFormat="false" ht="15" hidden="false" customHeight="false" outlineLevel="0" collapsed="false">
      <c r="A16" s="4" t="s">
        <v>20</v>
      </c>
    </row>
    <row r="17" customFormat="false" ht="15" hidden="false" customHeight="false" outlineLevel="0" collapsed="false">
      <c r="A17" s="9" t="s">
        <v>21</v>
      </c>
      <c r="B17" s="5" t="n">
        <f aca="false">COUNTA(Preguntas!A3:A200)</f>
        <v>32</v>
      </c>
    </row>
    <row r="18" customFormat="false" ht="15" hidden="false" customHeight="false" outlineLevel="0" collapsed="false">
      <c r="A18" s="9" t="s">
        <v>22</v>
      </c>
      <c r="B18" s="5" t="n">
        <f aca="false">COUNTIF(Preguntas!G3:G200,"Respondida")</f>
        <v>0</v>
      </c>
    </row>
    <row r="19" customFormat="false" ht="15" hidden="false" customHeight="false" outlineLevel="0" collapsed="false">
      <c r="A19" s="9" t="s">
        <v>23</v>
      </c>
      <c r="B19" s="5" t="n">
        <f aca="false">COUNTIF(Preguntas!G3:G200,"En curso")</f>
        <v>0</v>
      </c>
    </row>
    <row r="20" customFormat="false" ht="15" hidden="false" customHeight="false" outlineLevel="0" collapsed="false">
      <c r="A20" s="9" t="s">
        <v>24</v>
      </c>
      <c r="B20" s="5" t="n">
        <f aca="false">B17-B18-B19</f>
        <v>32</v>
      </c>
    </row>
    <row r="21" customFormat="false" ht="15" hidden="false" customHeight="false" outlineLevel="0" collapsed="false">
      <c r="A21" s="9" t="s">
        <v>25</v>
      </c>
      <c r="B21" s="10" t="n">
        <f aca="false">IF(B17=0,0,B18/B17)</f>
        <v>0</v>
      </c>
    </row>
    <row r="22" customFormat="false" ht="15" hidden="false" customHeight="false" outlineLevel="0" collapsed="false">
      <c r="A22" s="9" t="s">
        <v>26</v>
      </c>
      <c r="B22" s="5" t="str">
        <f aca="false">COUNTIF(Documentos!C3:C100,"Sí")&amp;" de "&amp;COUNTA(Documentos!B3:B100)</f>
        <v>0 de 11</v>
      </c>
    </row>
  </sheetData>
  <mergeCells count="5">
    <mergeCell ref="A4:D4"/>
    <mergeCell ref="B7:D7"/>
    <mergeCell ref="B8:D8"/>
    <mergeCell ref="B9:D9"/>
    <mergeCell ref="B10:D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4" ySplit="2" topLeftCell="E3" activePane="bottomRight" state="frozen"/>
      <selection pane="topLeft" activeCell="A1" activeCellId="0" sqref="A1"/>
      <selection pane="topRight" activeCell="E1" activeCellId="0" sqref="E1"/>
      <selection pane="bottomLeft" activeCell="A3" activeCellId="0" sqref="A3"/>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6"/>
    <col collapsed="false" customWidth="true" hidden="false" outlineLevel="0" max="3" min="3" style="0" width="26"/>
    <col collapsed="false" customWidth="true" hidden="false" outlineLevel="0" max="4" min="4" style="0" width="70"/>
    <col collapsed="false" customWidth="true" hidden="false" outlineLevel="0" max="5" min="5" style="0" width="20"/>
    <col collapsed="false" customWidth="true" hidden="false" outlineLevel="0" max="6" min="6" style="0" width="50"/>
    <col collapsed="false" customWidth="true" hidden="false" outlineLevel="0" max="7" min="7" style="0" width="13"/>
    <col collapsed="false" customWidth="true" hidden="false" outlineLevel="0" max="8" min="8" style="0" width="12"/>
  </cols>
  <sheetData>
    <row r="1" customFormat="false" ht="16.15" hidden="false" customHeight="false" outlineLevel="0" collapsed="false">
      <c r="A1" s="11" t="s">
        <v>0</v>
      </c>
    </row>
    <row r="2" customFormat="false" ht="15" hidden="false" customHeight="false" outlineLevel="0" collapsed="false">
      <c r="A2" s="12" t="s">
        <v>27</v>
      </c>
      <c r="B2" s="12" t="s">
        <v>28</v>
      </c>
      <c r="C2" s="12" t="s">
        <v>29</v>
      </c>
      <c r="D2" s="12" t="s">
        <v>30</v>
      </c>
      <c r="E2" s="12" t="s">
        <v>13</v>
      </c>
      <c r="F2" s="12" t="s">
        <v>14</v>
      </c>
      <c r="G2" s="12" t="s">
        <v>6</v>
      </c>
      <c r="H2" s="12" t="s">
        <v>15</v>
      </c>
    </row>
    <row r="3" customFormat="false" ht="23.85" hidden="false" customHeight="false" outlineLevel="0" collapsed="false">
      <c r="A3" s="13" t="n">
        <v>1</v>
      </c>
      <c r="B3" s="13" t="s">
        <v>31</v>
      </c>
      <c r="C3" s="14" t="s">
        <v>32</v>
      </c>
      <c r="D3" s="13" t="s">
        <v>33</v>
      </c>
      <c r="E3" s="15"/>
      <c r="F3" s="15"/>
      <c r="G3" s="15" t="s">
        <v>34</v>
      </c>
      <c r="H3" s="16"/>
    </row>
    <row r="4" customFormat="false" ht="23.85" hidden="false" customHeight="false" outlineLevel="0" collapsed="false">
      <c r="A4" s="13" t="n">
        <v>2</v>
      </c>
      <c r="B4" s="13" t="s">
        <v>31</v>
      </c>
      <c r="C4" s="14" t="s">
        <v>35</v>
      </c>
      <c r="D4" s="13" t="s">
        <v>36</v>
      </c>
      <c r="E4" s="15"/>
      <c r="F4" s="15"/>
      <c r="G4" s="15" t="s">
        <v>34</v>
      </c>
      <c r="H4" s="16"/>
    </row>
    <row r="5" customFormat="false" ht="35.05" hidden="false" customHeight="false" outlineLevel="0" collapsed="false">
      <c r="A5" s="13" t="n">
        <v>3</v>
      </c>
      <c r="B5" s="13" t="s">
        <v>31</v>
      </c>
      <c r="C5" s="14" t="s">
        <v>37</v>
      </c>
      <c r="D5" s="13" t="s">
        <v>38</v>
      </c>
      <c r="E5" s="15"/>
      <c r="F5" s="15"/>
      <c r="G5" s="15" t="s">
        <v>34</v>
      </c>
      <c r="H5" s="16"/>
    </row>
    <row r="6" customFormat="false" ht="23.85" hidden="false" customHeight="false" outlineLevel="0" collapsed="false">
      <c r="A6" s="13" t="n">
        <v>4</v>
      </c>
      <c r="B6" s="13" t="s">
        <v>31</v>
      </c>
      <c r="C6" s="14" t="s">
        <v>39</v>
      </c>
      <c r="D6" s="13" t="s">
        <v>40</v>
      </c>
      <c r="E6" s="15"/>
      <c r="F6" s="15"/>
      <c r="G6" s="15" t="s">
        <v>34</v>
      </c>
      <c r="H6" s="16"/>
    </row>
    <row r="7" customFormat="false" ht="35.05" hidden="false" customHeight="false" outlineLevel="0" collapsed="false">
      <c r="A7" s="13" t="n">
        <v>5</v>
      </c>
      <c r="B7" s="13" t="s">
        <v>31</v>
      </c>
      <c r="C7" s="14" t="s">
        <v>41</v>
      </c>
      <c r="D7" s="13" t="s">
        <v>42</v>
      </c>
      <c r="E7" s="15"/>
      <c r="F7" s="15"/>
      <c r="G7" s="15" t="s">
        <v>34</v>
      </c>
      <c r="H7" s="16"/>
    </row>
    <row r="8" customFormat="false" ht="35.05" hidden="false" customHeight="false" outlineLevel="0" collapsed="false">
      <c r="A8" s="13" t="n">
        <v>6</v>
      </c>
      <c r="B8" s="13" t="s">
        <v>43</v>
      </c>
      <c r="C8" s="14" t="s">
        <v>44</v>
      </c>
      <c r="D8" s="13" t="s">
        <v>45</v>
      </c>
      <c r="E8" s="15"/>
      <c r="F8" s="15"/>
      <c r="G8" s="15" t="s">
        <v>34</v>
      </c>
      <c r="H8" s="16"/>
    </row>
    <row r="9" customFormat="false" ht="35.05" hidden="false" customHeight="false" outlineLevel="0" collapsed="false">
      <c r="A9" s="13" t="n">
        <v>7</v>
      </c>
      <c r="B9" s="13" t="s">
        <v>43</v>
      </c>
      <c r="C9" s="14" t="s">
        <v>46</v>
      </c>
      <c r="D9" s="13" t="s">
        <v>47</v>
      </c>
      <c r="E9" s="15"/>
      <c r="F9" s="15"/>
      <c r="G9" s="15" t="s">
        <v>34</v>
      </c>
      <c r="H9" s="16"/>
    </row>
    <row r="10" customFormat="false" ht="46.25" hidden="false" customHeight="false" outlineLevel="0" collapsed="false">
      <c r="A10" s="13" t="n">
        <v>8</v>
      </c>
      <c r="B10" s="13" t="s">
        <v>43</v>
      </c>
      <c r="C10" s="14" t="s">
        <v>48</v>
      </c>
      <c r="D10" s="13" t="s">
        <v>49</v>
      </c>
      <c r="E10" s="15"/>
      <c r="F10" s="15"/>
      <c r="G10" s="15" t="s">
        <v>34</v>
      </c>
      <c r="H10" s="16"/>
    </row>
    <row r="11" customFormat="false" ht="46.25" hidden="false" customHeight="false" outlineLevel="0" collapsed="false">
      <c r="A11" s="13" t="n">
        <v>9</v>
      </c>
      <c r="B11" s="13" t="s">
        <v>43</v>
      </c>
      <c r="C11" s="14" t="s">
        <v>50</v>
      </c>
      <c r="D11" s="13" t="s">
        <v>51</v>
      </c>
      <c r="E11" s="15"/>
      <c r="F11" s="15"/>
      <c r="G11" s="15" t="s">
        <v>34</v>
      </c>
      <c r="H11" s="16"/>
    </row>
    <row r="12" customFormat="false" ht="46.25" hidden="false" customHeight="false" outlineLevel="0" collapsed="false">
      <c r="A12" s="13" t="n">
        <v>10</v>
      </c>
      <c r="B12" s="13" t="s">
        <v>43</v>
      </c>
      <c r="C12" s="14" t="s">
        <v>52</v>
      </c>
      <c r="D12" s="13" t="s">
        <v>53</v>
      </c>
      <c r="E12" s="15"/>
      <c r="F12" s="15"/>
      <c r="G12" s="15" t="s">
        <v>34</v>
      </c>
      <c r="H12" s="16"/>
    </row>
    <row r="13" customFormat="false" ht="23.85" hidden="false" customHeight="false" outlineLevel="0" collapsed="false">
      <c r="A13" s="13" t="n">
        <v>11</v>
      </c>
      <c r="B13" s="13" t="s">
        <v>43</v>
      </c>
      <c r="C13" s="14" t="s">
        <v>54</v>
      </c>
      <c r="D13" s="13" t="s">
        <v>55</v>
      </c>
      <c r="E13" s="15"/>
      <c r="F13" s="15"/>
      <c r="G13" s="15" t="s">
        <v>34</v>
      </c>
      <c r="H13" s="16"/>
    </row>
    <row r="14" customFormat="false" ht="23.85" hidden="false" customHeight="false" outlineLevel="0" collapsed="false">
      <c r="A14" s="13" t="n">
        <v>12</v>
      </c>
      <c r="B14" s="13" t="s">
        <v>43</v>
      </c>
      <c r="C14" s="14" t="s">
        <v>56</v>
      </c>
      <c r="D14" s="13" t="s">
        <v>57</v>
      </c>
      <c r="E14" s="15"/>
      <c r="F14" s="15"/>
      <c r="G14" s="15" t="s">
        <v>34</v>
      </c>
      <c r="H14" s="16"/>
    </row>
    <row r="15" customFormat="false" ht="35.05" hidden="false" customHeight="false" outlineLevel="0" collapsed="false">
      <c r="A15" s="13" t="n">
        <v>13</v>
      </c>
      <c r="B15" s="13" t="s">
        <v>43</v>
      </c>
      <c r="C15" s="14" t="s">
        <v>58</v>
      </c>
      <c r="D15" s="13" t="s">
        <v>59</v>
      </c>
      <c r="E15" s="15"/>
      <c r="F15" s="15"/>
      <c r="G15" s="15" t="s">
        <v>34</v>
      </c>
      <c r="H15" s="16"/>
    </row>
    <row r="16" customFormat="false" ht="15" hidden="false" customHeight="false" outlineLevel="0" collapsed="false">
      <c r="A16" s="13" t="n">
        <v>14</v>
      </c>
      <c r="B16" s="13" t="s">
        <v>43</v>
      </c>
      <c r="C16" s="14" t="s">
        <v>60</v>
      </c>
      <c r="D16" s="13" t="s">
        <v>61</v>
      </c>
      <c r="E16" s="15"/>
      <c r="F16" s="15"/>
      <c r="G16" s="15" t="s">
        <v>34</v>
      </c>
      <c r="H16" s="16"/>
    </row>
    <row r="17" customFormat="false" ht="23.85" hidden="false" customHeight="false" outlineLevel="0" collapsed="false">
      <c r="A17" s="13" t="n">
        <v>15</v>
      </c>
      <c r="B17" s="13" t="s">
        <v>43</v>
      </c>
      <c r="C17" s="14" t="s">
        <v>62</v>
      </c>
      <c r="D17" s="13" t="s">
        <v>63</v>
      </c>
      <c r="E17" s="15"/>
      <c r="F17" s="15"/>
      <c r="G17" s="15" t="s">
        <v>34</v>
      </c>
      <c r="H17" s="16"/>
    </row>
    <row r="18" customFormat="false" ht="46.25" hidden="false" customHeight="false" outlineLevel="0" collapsed="false">
      <c r="A18" s="13" t="n">
        <v>16</v>
      </c>
      <c r="B18" s="13" t="s">
        <v>43</v>
      </c>
      <c r="C18" s="14" t="s">
        <v>64</v>
      </c>
      <c r="D18" s="13" t="s">
        <v>65</v>
      </c>
      <c r="E18" s="15"/>
      <c r="F18" s="15"/>
      <c r="G18" s="15" t="s">
        <v>34</v>
      </c>
      <c r="H18" s="16"/>
    </row>
    <row r="19" customFormat="false" ht="35.05" hidden="false" customHeight="false" outlineLevel="0" collapsed="false">
      <c r="A19" s="13" t="n">
        <v>17</v>
      </c>
      <c r="B19" s="13" t="s">
        <v>43</v>
      </c>
      <c r="C19" s="14" t="s">
        <v>66</v>
      </c>
      <c r="D19" s="13" t="s">
        <v>67</v>
      </c>
      <c r="E19" s="15"/>
      <c r="F19" s="15"/>
      <c r="G19" s="15" t="s">
        <v>34</v>
      </c>
      <c r="H19" s="16"/>
    </row>
    <row r="20" customFormat="false" ht="35.05" hidden="false" customHeight="false" outlineLevel="0" collapsed="false">
      <c r="A20" s="13" t="n">
        <v>18</v>
      </c>
      <c r="B20" s="13" t="s">
        <v>43</v>
      </c>
      <c r="C20" s="14" t="s">
        <v>68</v>
      </c>
      <c r="D20" s="13" t="s">
        <v>69</v>
      </c>
      <c r="E20" s="15"/>
      <c r="F20" s="15"/>
      <c r="G20" s="15" t="s">
        <v>34</v>
      </c>
      <c r="H20" s="16"/>
    </row>
    <row r="21" customFormat="false" ht="23.85" hidden="false" customHeight="false" outlineLevel="0" collapsed="false">
      <c r="A21" s="13" t="n">
        <v>19</v>
      </c>
      <c r="B21" s="13" t="s">
        <v>70</v>
      </c>
      <c r="C21" s="14" t="s">
        <v>71</v>
      </c>
      <c r="D21" s="13" t="s">
        <v>72</v>
      </c>
      <c r="E21" s="15"/>
      <c r="F21" s="15"/>
      <c r="G21" s="15" t="s">
        <v>34</v>
      </c>
      <c r="H21" s="16"/>
    </row>
    <row r="22" customFormat="false" ht="23.85" hidden="false" customHeight="false" outlineLevel="0" collapsed="false">
      <c r="A22" s="13" t="n">
        <v>20</v>
      </c>
      <c r="B22" s="13" t="s">
        <v>70</v>
      </c>
      <c r="C22" s="14" t="s">
        <v>73</v>
      </c>
      <c r="D22" s="13" t="s">
        <v>74</v>
      </c>
      <c r="E22" s="15"/>
      <c r="F22" s="15"/>
      <c r="G22" s="15" t="s">
        <v>34</v>
      </c>
      <c r="H22" s="16"/>
    </row>
    <row r="23" customFormat="false" ht="23.85" hidden="false" customHeight="false" outlineLevel="0" collapsed="false">
      <c r="A23" s="13" t="n">
        <v>21</v>
      </c>
      <c r="B23" s="13" t="s">
        <v>70</v>
      </c>
      <c r="C23" s="14" t="s">
        <v>75</v>
      </c>
      <c r="D23" s="13" t="s">
        <v>76</v>
      </c>
      <c r="E23" s="15"/>
      <c r="F23" s="15"/>
      <c r="G23" s="15" t="s">
        <v>34</v>
      </c>
      <c r="H23" s="16"/>
    </row>
    <row r="24" customFormat="false" ht="23.85" hidden="false" customHeight="false" outlineLevel="0" collapsed="false">
      <c r="A24" s="13" t="n">
        <v>22</v>
      </c>
      <c r="B24" s="13" t="s">
        <v>70</v>
      </c>
      <c r="C24" s="14" t="s">
        <v>77</v>
      </c>
      <c r="D24" s="13" t="s">
        <v>78</v>
      </c>
      <c r="E24" s="15"/>
      <c r="F24" s="15"/>
      <c r="G24" s="15" t="s">
        <v>34</v>
      </c>
      <c r="H24" s="16"/>
    </row>
    <row r="25" customFormat="false" ht="46.25" hidden="false" customHeight="false" outlineLevel="0" collapsed="false">
      <c r="A25" s="13" t="n">
        <v>23</v>
      </c>
      <c r="B25" s="13" t="s">
        <v>70</v>
      </c>
      <c r="C25" s="14" t="s">
        <v>79</v>
      </c>
      <c r="D25" s="13" t="s">
        <v>80</v>
      </c>
      <c r="E25" s="15"/>
      <c r="F25" s="15"/>
      <c r="G25" s="15" t="s">
        <v>34</v>
      </c>
      <c r="H25" s="16"/>
    </row>
    <row r="26" customFormat="false" ht="35.05" hidden="false" customHeight="false" outlineLevel="0" collapsed="false">
      <c r="A26" s="13" t="n">
        <v>24</v>
      </c>
      <c r="B26" s="13" t="s">
        <v>70</v>
      </c>
      <c r="C26" s="14" t="s">
        <v>81</v>
      </c>
      <c r="D26" s="13" t="s">
        <v>82</v>
      </c>
      <c r="E26" s="15"/>
      <c r="F26" s="15"/>
      <c r="G26" s="15" t="s">
        <v>34</v>
      </c>
      <c r="H26" s="16"/>
    </row>
    <row r="27" customFormat="false" ht="79.85" hidden="false" customHeight="false" outlineLevel="0" collapsed="false">
      <c r="A27" s="13" t="n">
        <v>25</v>
      </c>
      <c r="B27" s="13" t="s">
        <v>70</v>
      </c>
      <c r="C27" s="14" t="s">
        <v>83</v>
      </c>
      <c r="D27" s="13" t="s">
        <v>84</v>
      </c>
      <c r="E27" s="15"/>
      <c r="F27" s="15"/>
      <c r="G27" s="15" t="s">
        <v>34</v>
      </c>
      <c r="H27" s="16"/>
    </row>
    <row r="28" customFormat="false" ht="46.25" hidden="false" customHeight="false" outlineLevel="0" collapsed="false">
      <c r="A28" s="13" t="n">
        <v>26</v>
      </c>
      <c r="B28" s="13" t="s">
        <v>70</v>
      </c>
      <c r="C28" s="14" t="s">
        <v>85</v>
      </c>
      <c r="D28" s="13" t="s">
        <v>86</v>
      </c>
      <c r="E28" s="15"/>
      <c r="F28" s="15"/>
      <c r="G28" s="15" t="s">
        <v>34</v>
      </c>
      <c r="H28" s="16"/>
    </row>
    <row r="29" customFormat="false" ht="23.85" hidden="false" customHeight="false" outlineLevel="0" collapsed="false">
      <c r="A29" s="13" t="n">
        <v>27</v>
      </c>
      <c r="B29" s="13" t="s">
        <v>70</v>
      </c>
      <c r="C29" s="14" t="s">
        <v>87</v>
      </c>
      <c r="D29" s="13" t="s">
        <v>88</v>
      </c>
      <c r="E29" s="15"/>
      <c r="F29" s="15"/>
      <c r="G29" s="15" t="s">
        <v>34</v>
      </c>
      <c r="H29" s="16"/>
    </row>
    <row r="30" customFormat="false" ht="35.05" hidden="false" customHeight="false" outlineLevel="0" collapsed="false">
      <c r="A30" s="13" t="n">
        <v>28</v>
      </c>
      <c r="B30" s="13" t="s">
        <v>89</v>
      </c>
      <c r="C30" s="14" t="s">
        <v>90</v>
      </c>
      <c r="D30" s="13" t="s">
        <v>91</v>
      </c>
      <c r="E30" s="15"/>
      <c r="F30" s="15"/>
      <c r="G30" s="15" t="s">
        <v>34</v>
      </c>
      <c r="H30" s="16"/>
    </row>
    <row r="31" customFormat="false" ht="68.65" hidden="false" customHeight="false" outlineLevel="0" collapsed="false">
      <c r="A31" s="13" t="n">
        <v>29</v>
      </c>
      <c r="B31" s="13" t="s">
        <v>89</v>
      </c>
      <c r="C31" s="14" t="s">
        <v>92</v>
      </c>
      <c r="D31" s="13" t="s">
        <v>93</v>
      </c>
      <c r="E31" s="15"/>
      <c r="F31" s="15"/>
      <c r="G31" s="15" t="s">
        <v>34</v>
      </c>
      <c r="H31" s="16"/>
    </row>
    <row r="32" customFormat="false" ht="46.25" hidden="false" customHeight="false" outlineLevel="0" collapsed="false">
      <c r="A32" s="13" t="n">
        <v>30</v>
      </c>
      <c r="B32" s="13" t="s">
        <v>89</v>
      </c>
      <c r="C32" s="14" t="s">
        <v>94</v>
      </c>
      <c r="D32" s="13" t="s">
        <v>95</v>
      </c>
      <c r="E32" s="15"/>
      <c r="F32" s="15"/>
      <c r="G32" s="15" t="s">
        <v>34</v>
      </c>
      <c r="H32" s="16"/>
    </row>
    <row r="33" customFormat="false" ht="46.25" hidden="false" customHeight="false" outlineLevel="0" collapsed="false">
      <c r="A33" s="13" t="n">
        <v>31</v>
      </c>
      <c r="B33" s="13" t="s">
        <v>89</v>
      </c>
      <c r="C33" s="14" t="s">
        <v>96</v>
      </c>
      <c r="D33" s="13" t="s">
        <v>97</v>
      </c>
      <c r="E33" s="15"/>
      <c r="F33" s="15"/>
      <c r="G33" s="15" t="s">
        <v>34</v>
      </c>
      <c r="H33" s="16"/>
    </row>
    <row r="34" customFormat="false" ht="46.25" hidden="false" customHeight="false" outlineLevel="0" collapsed="false">
      <c r="A34" s="13" t="n">
        <v>32</v>
      </c>
      <c r="B34" s="13" t="s">
        <v>89</v>
      </c>
      <c r="C34" s="14" t="s">
        <v>98</v>
      </c>
      <c r="D34" s="13" t="s">
        <v>99</v>
      </c>
      <c r="E34" s="15"/>
      <c r="F34" s="15"/>
      <c r="G34" s="15" t="s">
        <v>34</v>
      </c>
      <c r="H34" s="16"/>
    </row>
  </sheetData>
  <autoFilter ref="A2:H34"/>
  <dataValidations count="1">
    <dataValidation allowBlank="true" errorStyle="stop" operator="between" showDropDown="false" showErrorMessage="false" showInputMessage="false" sqref="G3:G34" type="list">
      <formula1>"Pendiente,En curso,Respondida"</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80"/>
    <col collapsed="false" customWidth="true" hidden="false" outlineLevel="0" max="3" min="3" style="0" width="12"/>
    <col collapsed="false" customWidth="true" hidden="false" outlineLevel="0" max="4" min="4" style="0" width="40"/>
  </cols>
  <sheetData>
    <row r="1" customFormat="false" ht="16.15" hidden="false" customHeight="false" outlineLevel="0" collapsed="false">
      <c r="A1" s="11" t="s">
        <v>100</v>
      </c>
    </row>
    <row r="2" customFormat="false" ht="15" hidden="false" customHeight="false" outlineLevel="0" collapsed="false">
      <c r="A2" s="17" t="s">
        <v>27</v>
      </c>
      <c r="B2" s="17" t="s">
        <v>101</v>
      </c>
      <c r="C2" s="17" t="s">
        <v>102</v>
      </c>
      <c r="D2" s="17" t="s">
        <v>103</v>
      </c>
    </row>
    <row r="3" customFormat="false" ht="15" hidden="false" customHeight="false" outlineLevel="0" collapsed="false">
      <c r="A3" s="18" t="n">
        <v>1</v>
      </c>
      <c r="B3" s="18" t="s">
        <v>104</v>
      </c>
      <c r="C3" s="19"/>
      <c r="D3" s="19"/>
    </row>
    <row r="4" customFormat="false" ht="15" hidden="false" customHeight="false" outlineLevel="0" collapsed="false">
      <c r="A4" s="18" t="n">
        <v>2</v>
      </c>
      <c r="B4" s="18" t="s">
        <v>105</v>
      </c>
      <c r="C4" s="19"/>
      <c r="D4" s="19"/>
    </row>
    <row r="5" customFormat="false" ht="15" hidden="false" customHeight="false" outlineLevel="0" collapsed="false">
      <c r="A5" s="18" t="n">
        <v>3</v>
      </c>
      <c r="B5" s="18" t="s">
        <v>106</v>
      </c>
      <c r="C5" s="19"/>
      <c r="D5" s="19"/>
    </row>
    <row r="6" customFormat="false" ht="15" hidden="false" customHeight="false" outlineLevel="0" collapsed="false">
      <c r="A6" s="18" t="n">
        <v>4</v>
      </c>
      <c r="B6" s="18" t="s">
        <v>107</v>
      </c>
      <c r="C6" s="19"/>
      <c r="D6" s="19"/>
    </row>
    <row r="7" customFormat="false" ht="15" hidden="false" customHeight="false" outlineLevel="0" collapsed="false">
      <c r="A7" s="18" t="n">
        <v>5</v>
      </c>
      <c r="B7" s="18" t="s">
        <v>108</v>
      </c>
      <c r="C7" s="19"/>
      <c r="D7" s="19"/>
    </row>
    <row r="8" customFormat="false" ht="15" hidden="false" customHeight="false" outlineLevel="0" collapsed="false">
      <c r="A8" s="18" t="n">
        <v>6</v>
      </c>
      <c r="B8" s="18" t="s">
        <v>109</v>
      </c>
      <c r="C8" s="19"/>
      <c r="D8" s="19"/>
    </row>
    <row r="9" customFormat="false" ht="23.85" hidden="false" customHeight="false" outlineLevel="0" collapsed="false">
      <c r="A9" s="18" t="n">
        <v>7</v>
      </c>
      <c r="B9" s="18" t="s">
        <v>110</v>
      </c>
      <c r="C9" s="19"/>
      <c r="D9" s="19"/>
    </row>
    <row r="10" customFormat="false" ht="15" hidden="false" customHeight="false" outlineLevel="0" collapsed="false">
      <c r="A10" s="18" t="n">
        <v>8</v>
      </c>
      <c r="B10" s="18" t="s">
        <v>111</v>
      </c>
      <c r="C10" s="19"/>
      <c r="D10" s="19"/>
    </row>
    <row r="11" customFormat="false" ht="15" hidden="false" customHeight="false" outlineLevel="0" collapsed="false">
      <c r="A11" s="18" t="n">
        <v>9</v>
      </c>
      <c r="B11" s="18" t="s">
        <v>112</v>
      </c>
      <c r="C11" s="19"/>
      <c r="D11" s="19"/>
    </row>
    <row r="12" customFormat="false" ht="15" hidden="false" customHeight="false" outlineLevel="0" collapsed="false">
      <c r="A12" s="18" t="n">
        <v>10</v>
      </c>
      <c r="B12" s="18" t="s">
        <v>113</v>
      </c>
      <c r="C12" s="19"/>
      <c r="D12" s="19"/>
    </row>
    <row r="13" customFormat="false" ht="23.85" hidden="false" customHeight="false" outlineLevel="0" collapsed="false">
      <c r="A13" s="18" t="n">
        <v>11</v>
      </c>
      <c r="B13" s="18" t="s">
        <v>114</v>
      </c>
      <c r="C13" s="19"/>
      <c r="D13" s="19"/>
    </row>
  </sheetData>
  <dataValidations count="1">
    <dataValidation allowBlank="true" errorStyle="stop" operator="between" showDropDown="false" showErrorMessage="false" showInputMessage="false" sqref="C3:C13" type="list">
      <formula1>"Sí,No"</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2026-10-12T20:50:07Z</dcterms:created>
  <dc:creator>openpyxl</dc:creator>
  <dc:description/>
  <dc:language>en-US</dc:language>
  <cp:lastModifiedBy/>
  <dcterms:modified xsi:type="dcterms:W3CDTF">2026-10-12T20:50:07Z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